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p\OneDrive - Związek Harcerstwa Polskiego\Dysk 111PDH\Biwak grudzien 2025\"/>
    </mc:Choice>
  </mc:AlternateContent>
  <xr:revisionPtr revIDLastSave="0" documentId="13_ncr:1_{F352AD31-7FFD-4D6F-9F33-D4802F503A3B}" xr6:coauthVersionLast="47" xr6:coauthVersionMax="47" xr10:uidLastSave="{00000000-0000-0000-0000-000000000000}"/>
  <bookViews>
    <workbookView xWindow="-120" yWindow="-120" windowWidth="29040" windowHeight="15840" xr2:uid="{CD2BD553-C9A4-4D68-9F0A-57E46CD134A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<sst xmlns="http://schemas.openxmlformats.org/spreadsheetml/2006/main" count="165" uniqueCount="117">
  <si>
    <t>Godzina</t>
  </si>
  <si>
    <t>Punkt Programu</t>
  </si>
  <si>
    <t>Osoba Odpowiedzialna</t>
  </si>
  <si>
    <t>Przyjazd i zakwaterowanie</t>
  </si>
  <si>
    <t>Igor (koordynacja)</t>
  </si>
  <si>
    <t>21:00 - 22:00</t>
  </si>
  <si>
    <t>22:00 - 22:30</t>
  </si>
  <si>
    <t>Toaleta wieczorna</t>
  </si>
  <si>
    <t>Wszyscy</t>
  </si>
  <si>
    <t>Cisza nocna</t>
  </si>
  <si>
    <t>-</t>
  </si>
  <si>
    <t>Kadra</t>
  </si>
  <si>
    <t>SOBOTA</t>
  </si>
  <si>
    <t>Pobudka</t>
  </si>
  <si>
    <t>07:30 - 08:00</t>
  </si>
  <si>
    <t>Rozgrzewka poranna</t>
  </si>
  <si>
    <t>Jan Nowicki</t>
  </si>
  <si>
    <t>08:00 - 08:30</t>
  </si>
  <si>
    <t>Toaleta poranna</t>
  </si>
  <si>
    <t>08:30 - 09:30</t>
  </si>
  <si>
    <t>09:30 - 13:30</t>
  </si>
  <si>
    <t>Szymon (Gra) / Janek (Kuchnia)</t>
  </si>
  <si>
    <t>13:30 - 14:00</t>
  </si>
  <si>
    <t>14:00 - 15:00</t>
  </si>
  <si>
    <t>OBIAD (Zuchy-budynek / Harcerze-ognisko)</t>
  </si>
  <si>
    <t>Janek + Ekipa Kuchenna</t>
  </si>
  <si>
    <t>15:00 - 15:30</t>
  </si>
  <si>
    <t>Przerwa poobiednia</t>
  </si>
  <si>
    <t>15:30 - 17:30</t>
  </si>
  <si>
    <t>17:30 - 18:00</t>
  </si>
  <si>
    <t>18:00 - 19:30</t>
  </si>
  <si>
    <t>19:30 - 21:00</t>
  </si>
  <si>
    <t>Kolacja / Uroczyste Ognisko</t>
  </si>
  <si>
    <t>NIEDZIELA</t>
  </si>
  <si>
    <t>Rozgrzewka / Pakowanie</t>
  </si>
  <si>
    <t>08:30 - 09:00</t>
  </si>
  <si>
    <t>09:30 - 10:00</t>
  </si>
  <si>
    <t>Igor / Kuba</t>
  </si>
  <si>
    <t>10:00 - 10:30</t>
  </si>
  <si>
    <t>Odjazd autobusu</t>
  </si>
  <si>
    <t>Dzień</t>
  </si>
  <si>
    <t>PIĄTEK</t>
  </si>
  <si>
    <t>Duch (Nadzorujący)</t>
  </si>
  <si>
    <t>Igor (Gra) / Michał (Kuchnia)</t>
  </si>
  <si>
    <t>Generalne Sprzątanie / Pakowanie auta</t>
  </si>
  <si>
    <t>Wyjazd Zuchów</t>
  </si>
  <si>
    <t>Śniadanie (Szybkie)</t>
  </si>
  <si>
    <t>Przejście do budynku / Bufor</t>
  </si>
  <si>
    <t>Toaleta / Podsumowanie w zastępach</t>
  </si>
  <si>
    <t>Blok I: Gra Terenowa (Kociołek start ~11:00)</t>
  </si>
  <si>
    <t>Bufor / Mycie rąk</t>
  </si>
  <si>
    <t>Kolacja + Wprowadzenie do Fabuły</t>
  </si>
  <si>
    <t>Służba Kuchenna + Igor</t>
  </si>
  <si>
    <t>Igor</t>
  </si>
  <si>
    <t>Służba kuchenna</t>
  </si>
  <si>
    <t xml:space="preserve">Śniadanie  </t>
  </si>
  <si>
    <t>Zastępowi</t>
  </si>
  <si>
    <t>Michał  + Janek</t>
  </si>
  <si>
    <t>Wszyscy (Wiktor/Dominik - sprzęt)</t>
  </si>
  <si>
    <t>Zdanie budynku / Wyjście na przystanek</t>
  </si>
  <si>
    <t>Beata</t>
  </si>
  <si>
    <t>Szymon</t>
  </si>
  <si>
    <t>Bany</t>
  </si>
  <si>
    <t>20:30 - 21:00</t>
  </si>
  <si>
    <t>Blok II: Integracja przy Ognisku</t>
  </si>
  <si>
    <t>Blok III: Majsterka - budynek</t>
  </si>
  <si>
    <t>Cysia</t>
  </si>
  <si>
    <t>Typ Pokoju</t>
  </si>
  <si>
    <t>Kto (Grupa)</t>
  </si>
  <si>
    <t>Liczba Osób</t>
  </si>
  <si>
    <t>2-osobowy</t>
  </si>
  <si>
    <t>5-osobowy</t>
  </si>
  <si>
    <t>Agata Buczak</t>
  </si>
  <si>
    <t xml:space="preserve"> Amelia Lura</t>
  </si>
  <si>
    <t xml:space="preserve"> Kinga Stogowska</t>
  </si>
  <si>
    <t>KADRA MĘSKA</t>
  </si>
  <si>
    <t>Igor Preuss</t>
  </si>
  <si>
    <t>3-osobowy</t>
  </si>
  <si>
    <t>ZUCHY (DESANT)</t>
  </si>
  <si>
    <t>Dominik Skonieczny</t>
  </si>
  <si>
    <t>Pokój</t>
  </si>
  <si>
    <t>ZUCHY (WIĘKSZOŚĆ)</t>
  </si>
  <si>
    <t>PUSTY</t>
  </si>
  <si>
    <t>WOLNE</t>
  </si>
  <si>
    <t>Łóżko 1</t>
  </si>
  <si>
    <t>Łóżko 2</t>
  </si>
  <si>
    <t>Łóżko 3</t>
  </si>
  <si>
    <t>Łóżko 4</t>
  </si>
  <si>
    <t>Łóżko 5</t>
  </si>
  <si>
    <t>Zuch 6</t>
  </si>
  <si>
    <t>Zuch 7</t>
  </si>
  <si>
    <t>Zuch 1</t>
  </si>
  <si>
    <t>Zuch 2</t>
  </si>
  <si>
    <t>Zuch 3</t>
  </si>
  <si>
    <t>Zuch 4</t>
  </si>
  <si>
    <t>Zuch 5</t>
  </si>
  <si>
    <t>Piotr Kropoliński</t>
  </si>
  <si>
    <t>Piotr Buczak</t>
  </si>
  <si>
    <t>Artur Dąbrowski</t>
  </si>
  <si>
    <t>Karol Plewczyński</t>
  </si>
  <si>
    <t>Rafał Dutka</t>
  </si>
  <si>
    <t>Krzysztof Strzleczak</t>
  </si>
  <si>
    <t>Aleksander Woźniak</t>
  </si>
  <si>
    <t>KREATYWNE KREATURY 1</t>
  </si>
  <si>
    <t>KREATYWNE KREATURY 2</t>
  </si>
  <si>
    <t>Jeremiasz Baranek</t>
  </si>
  <si>
    <t>MIŁOŚNICY HERBATY + JANEK</t>
  </si>
  <si>
    <t>Wiktor Szczęsny</t>
  </si>
  <si>
    <t>KADRA ŻEŃSKA</t>
  </si>
  <si>
    <t>OPALAQUATAZY 1</t>
  </si>
  <si>
    <t>Zuchenka</t>
  </si>
  <si>
    <t>OPALAQUATAZY 2 + ZUCHENKA</t>
  </si>
  <si>
    <t>Marcjanna Przybylska</t>
  </si>
  <si>
    <t>Arina Garaeva</t>
  </si>
  <si>
    <t>Kuba Zatorski</t>
  </si>
  <si>
    <t>Szymon Zimicz</t>
  </si>
  <si>
    <t>Michał Bankiewicz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</si>
</sst>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AB919D-7CEB-4EAF-A35D-284AF2961A15}" name="Tabela3" displayName="Tabela3" ref="B1:E27" totalsRowShown="0">
  <autoFilter ref="B1:E27" xr:uid="{CAAB919D-7CEB-4EAF-A35D-284AF2961A15}"/>
  <tableColumns count="4">
    <tableColumn id="1" xr3:uid="{3E87642F-86F0-4544-8C8C-8811EC5D83C5}" name="Godzina" dataDxfId="3"/>
    <tableColumn id="2" xr3:uid="{E864AF06-94D7-4BEB-AC7B-4829FB96588F}" name="Punkt Programu"/>
    <tableColumn id="3" xr3:uid="{42264A8D-9CE9-435A-BDF7-39661D3052C0}" name="Osoba Odpowiedzialna"/>
    <tableColumn id="4" xr3:uid="{6BF34FAA-019A-4E3D-9D68-16DBAE52F048}" name="Duch (Nadzorując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DFC386-0755-4C15-990B-5037CC4ECDEE}" name="Tabela1" displayName="Tabela1" ref="H1:P11" totalsRowShown="0">
  <autoFilter ref="H1:P11" xr:uid="{43DFC386-0755-4C15-990B-5037CC4ECDEE}"/>
  <tableColumns count="9">
    <tableColumn id="1" xr3:uid="{9C5D63C8-1670-4DE3-ABA7-28206195C824}" name="Pokój" dataDxfId="2"/>
    <tableColumn id="2" xr3:uid="{0000CB40-9D7A-4277-894E-FCA4AA34D298}" name="Typ Pokoju" dataDxfId="1"/>
    <tableColumn id="3" xr3:uid="{0A6E3B46-C39F-47C7-93B5-9288A256C92C}" name="Kto (Grupa)"/>
    <tableColumn id="4" xr3:uid="{C01C5350-E8F6-423F-B80B-7B6D424023BA}" name="Liczba Osób" dataDxfId="0"/>
    <tableColumn id="5" xr3:uid="{EF584782-36C3-4FCB-B572-77D277BFD77F}" name="Łóżko 1"/>
    <tableColumn id="6" xr3:uid="{61F623C1-4F4A-4614-A972-DCB43626113B}" name="Łóżko 2"/>
    <tableColumn id="7" xr3:uid="{5C032371-9052-4387-97FA-9E8595AFCF08}" name="Łóżko 3"/>
    <tableColumn id="8" xr3:uid="{C56B53A8-4920-474D-B2D2-47B3C63CB9D6}" name="Łóżko 4"/>
    <tableColumn id="9" xr3:uid="{B03A453F-A4EF-4C2F-B01A-744BDD09B343}" name="Łóżko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4D5E-501C-416D-BBB0-7CACB5AF38EB}">
  <dimension ref="A1:P30"/>
  <sheetViews>
    <sheetView tabSelected="1" topLeftCell="F1" zoomScale="115" zoomScaleNormal="115" workbookViewId="0">
      <selection activeCell="J16" sqref="J16"/>
    </sheetView>
  </sheetViews>
  <sheetFormatPr defaultRowHeight="15" x14ac:dyDescent="0.25"/>
  <cols>
    <col min="1" max="1" width="14.42578125" customWidth="1"/>
    <col min="2" max="2" width="12.7109375" customWidth="1"/>
    <col min="3" max="3" width="40.85546875" bestFit="1" customWidth="1"/>
    <col min="4" max="4" width="34" bestFit="1" customWidth="1"/>
    <col min="5" max="5" width="27.140625" bestFit="1" customWidth="1"/>
    <col min="8" max="8" width="9.5703125" customWidth="1"/>
    <col min="9" max="9" width="14.140625" customWidth="1"/>
    <col min="10" max="10" width="34.140625" bestFit="1" customWidth="1"/>
    <col min="11" max="11" width="13.42578125" customWidth="1"/>
    <col min="12" max="12" width="26" customWidth="1"/>
    <col min="13" max="13" width="23.7109375" customWidth="1"/>
    <col min="14" max="14" width="20.5703125" bestFit="1" customWidth="1"/>
    <col min="15" max="15" width="28.85546875" bestFit="1" customWidth="1"/>
    <col min="16" max="16" width="18.28515625" customWidth="1"/>
  </cols>
  <sheetData>
    <row r="1" spans="1:16" x14ac:dyDescent="0.25">
      <c r="A1" s="3" t="s">
        <v>40</v>
      </c>
      <c r="B1" t="s">
        <v>0</v>
      </c>
      <c r="C1" t="s">
        <v>1</v>
      </c>
      <c r="D1" t="s">
        <v>2</v>
      </c>
      <c r="E1" t="s">
        <v>42</v>
      </c>
      <c r="H1" t="s">
        <v>80</v>
      </c>
      <c r="I1" t="s">
        <v>67</v>
      </c>
      <c r="J1" t="s">
        <v>68</v>
      </c>
      <c r="K1" t="s">
        <v>69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</row>
    <row r="2" spans="1:16" x14ac:dyDescent="0.25">
      <c r="A2" s="4" t="s">
        <v>41</v>
      </c>
      <c r="B2" s="1" t="s">
        <v>63</v>
      </c>
      <c r="C2" t="s">
        <v>3</v>
      </c>
      <c r="D2" t="s">
        <v>4</v>
      </c>
      <c r="E2" t="s">
        <v>53</v>
      </c>
      <c r="H2" s="2">
        <v>1</v>
      </c>
      <c r="I2" s="2" t="s">
        <v>70</v>
      </c>
      <c r="J2" t="s">
        <v>108</v>
      </c>
      <c r="K2" s="2">
        <v>1</v>
      </c>
      <c r="L2" t="s">
        <v>60</v>
      </c>
      <c r="M2" t="s">
        <v>83</v>
      </c>
    </row>
    <row r="3" spans="1:16" x14ac:dyDescent="0.25">
      <c r="A3" s="4"/>
      <c r="B3" s="2" t="s">
        <v>5</v>
      </c>
      <c r="C3" t="s">
        <v>51</v>
      </c>
      <c r="D3" t="s">
        <v>52</v>
      </c>
      <c r="E3" t="s">
        <v>62</v>
      </c>
      <c r="H3" s="2">
        <v>2</v>
      </c>
      <c r="I3" s="2" t="s">
        <v>71</v>
      </c>
      <c r="J3" t="s">
        <v>82</v>
      </c>
      <c r="K3" s="2">
        <v>0</v>
      </c>
    </row>
    <row r="4" spans="1:16" x14ac:dyDescent="0.25">
      <c r="A4" s="4"/>
      <c r="B4" s="2" t="s">
        <v>6</v>
      </c>
      <c r="C4" t="s">
        <v>7</v>
      </c>
      <c r="D4" t="s">
        <v>8</v>
      </c>
      <c r="E4" t="s">
        <v>61</v>
      </c>
      <c r="H4" s="2">
        <v>3</v>
      </c>
      <c r="I4" s="2" t="s">
        <v>71</v>
      </c>
      <c r="J4" t="s">
        <v>75</v>
      </c>
      <c r="K4" s="2">
        <v>4</v>
      </c>
      <c r="L4" t="s">
        <v>76</v>
      </c>
      <c r="M4" t="s">
        <v>116</v>
      </c>
      <c r="N4" t="s">
        <v>114</v>
      </c>
      <c r="O4" t="s">
        <v>115</v>
      </c>
      <c r="P4" t="s">
        <v>83</v>
      </c>
    </row>
    <row r="5" spans="1:16" x14ac:dyDescent="0.25">
      <c r="A5" s="4"/>
      <c r="B5" s="1">
        <v>0.9375</v>
      </c>
      <c r="C5" t="s">
        <v>9</v>
      </c>
      <c r="D5" t="s">
        <v>10</v>
      </c>
      <c r="H5" s="2">
        <v>4</v>
      </c>
      <c r="I5" s="2" t="s">
        <v>71</v>
      </c>
      <c r="J5" t="s">
        <v>81</v>
      </c>
      <c r="K5" s="2">
        <v>5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</row>
    <row r="6" spans="1:16" x14ac:dyDescent="0.25">
      <c r="A6" s="4" t="s">
        <v>12</v>
      </c>
      <c r="B6" s="1">
        <v>0.3125</v>
      </c>
      <c r="C6" t="s">
        <v>13</v>
      </c>
      <c r="D6" t="s">
        <v>53</v>
      </c>
      <c r="E6" t="s">
        <v>61</v>
      </c>
      <c r="H6" s="2">
        <v>5</v>
      </c>
      <c r="I6" s="2" t="s">
        <v>71</v>
      </c>
      <c r="J6" t="s">
        <v>103</v>
      </c>
      <c r="K6" s="2">
        <v>5</v>
      </c>
      <c r="L6" s="7" t="s">
        <v>100</v>
      </c>
      <c r="M6" s="7" t="s">
        <v>98</v>
      </c>
      <c r="N6" s="7" t="s">
        <v>99</v>
      </c>
      <c r="O6" s="7" t="s">
        <v>105</v>
      </c>
      <c r="P6" s="7" t="s">
        <v>101</v>
      </c>
    </row>
    <row r="7" spans="1:16" x14ac:dyDescent="0.25">
      <c r="A7" s="4"/>
      <c r="B7" s="2" t="s">
        <v>14</v>
      </c>
      <c r="C7" t="s">
        <v>15</v>
      </c>
      <c r="D7" t="s">
        <v>16</v>
      </c>
      <c r="E7" t="s">
        <v>61</v>
      </c>
      <c r="H7" s="2">
        <v>6</v>
      </c>
      <c r="I7" s="2" t="s">
        <v>77</v>
      </c>
      <c r="J7" t="s">
        <v>78</v>
      </c>
      <c r="K7" s="2">
        <v>2</v>
      </c>
      <c r="L7" t="s">
        <v>89</v>
      </c>
      <c r="M7" t="s">
        <v>90</v>
      </c>
      <c r="N7" t="s">
        <v>83</v>
      </c>
    </row>
    <row r="8" spans="1:16" x14ac:dyDescent="0.25">
      <c r="A8" s="4"/>
      <c r="B8" s="2" t="s">
        <v>17</v>
      </c>
      <c r="C8" t="s">
        <v>18</v>
      </c>
      <c r="D8" t="s">
        <v>56</v>
      </c>
      <c r="H8" s="2">
        <v>7</v>
      </c>
      <c r="I8" s="2" t="s">
        <v>77</v>
      </c>
      <c r="J8" t="s">
        <v>106</v>
      </c>
      <c r="K8" s="2">
        <v>3</v>
      </c>
      <c r="L8" t="s">
        <v>79</v>
      </c>
      <c r="M8" t="s">
        <v>107</v>
      </c>
      <c r="N8" t="s">
        <v>16</v>
      </c>
    </row>
    <row r="9" spans="1:16" x14ac:dyDescent="0.25">
      <c r="A9" s="4"/>
      <c r="B9" s="2" t="s">
        <v>19</v>
      </c>
      <c r="C9" t="s">
        <v>55</v>
      </c>
      <c r="D9" t="s">
        <v>54</v>
      </c>
      <c r="E9" t="s">
        <v>61</v>
      </c>
      <c r="H9" s="2">
        <v>8</v>
      </c>
      <c r="I9" s="2" t="s">
        <v>77</v>
      </c>
      <c r="J9" t="s">
        <v>104</v>
      </c>
      <c r="K9" s="2">
        <v>3</v>
      </c>
      <c r="L9" t="s">
        <v>96</v>
      </c>
      <c r="M9" t="s">
        <v>97</v>
      </c>
      <c r="N9" t="s">
        <v>102</v>
      </c>
    </row>
    <row r="10" spans="1:16" x14ac:dyDescent="0.25">
      <c r="A10" s="4"/>
      <c r="B10" s="2" t="s">
        <v>20</v>
      </c>
      <c r="C10" t="s">
        <v>49</v>
      </c>
      <c r="D10" t="s">
        <v>21</v>
      </c>
      <c r="E10" t="s">
        <v>43</v>
      </c>
      <c r="H10" s="2">
        <v>9</v>
      </c>
      <c r="I10" s="2" t="s">
        <v>77</v>
      </c>
      <c r="J10" t="s">
        <v>109</v>
      </c>
      <c r="K10" s="2">
        <v>3</v>
      </c>
      <c r="L10" t="s">
        <v>112</v>
      </c>
      <c r="M10" t="s">
        <v>73</v>
      </c>
      <c r="N10" t="s">
        <v>113</v>
      </c>
    </row>
    <row r="11" spans="1:16" x14ac:dyDescent="0.25">
      <c r="A11" s="4"/>
      <c r="B11" s="2" t="s">
        <v>22</v>
      </c>
      <c r="C11" t="s">
        <v>50</v>
      </c>
      <c r="D11" t="s">
        <v>10</v>
      </c>
      <c r="E11" t="s">
        <v>10</v>
      </c>
      <c r="H11" s="2">
        <v>10</v>
      </c>
      <c r="I11" s="2" t="s">
        <v>77</v>
      </c>
      <c r="J11" t="s">
        <v>111</v>
      </c>
      <c r="K11" s="2">
        <v>3</v>
      </c>
      <c r="L11" t="s">
        <v>72</v>
      </c>
      <c r="M11" t="s">
        <v>74</v>
      </c>
      <c r="N11" s="7" t="s">
        <v>110</v>
      </c>
    </row>
    <row r="12" spans="1:16" x14ac:dyDescent="0.25">
      <c r="A12" s="4"/>
      <c r="B12" s="2" t="s">
        <v>23</v>
      </c>
      <c r="C12" t="s">
        <v>24</v>
      </c>
      <c r="D12" t="s">
        <v>25</v>
      </c>
      <c r="E12" t="s">
        <v>62</v>
      </c>
    </row>
    <row r="13" spans="1:16" x14ac:dyDescent="0.25">
      <c r="A13" s="4"/>
      <c r="B13" s="2" t="s">
        <v>26</v>
      </c>
      <c r="C13" t="s">
        <v>27</v>
      </c>
      <c r="D13" t="s">
        <v>10</v>
      </c>
      <c r="E13" t="s">
        <v>10</v>
      </c>
    </row>
    <row r="14" spans="1:16" x14ac:dyDescent="0.25">
      <c r="A14" s="4"/>
      <c r="B14" s="2" t="s">
        <v>28</v>
      </c>
      <c r="C14" t="s">
        <v>64</v>
      </c>
      <c r="D14" t="s">
        <v>62</v>
      </c>
      <c r="E14" t="s">
        <v>53</v>
      </c>
      <c r="K14">
        <f>SUM(Tabela1[Liczba Osób])</f>
        <v>29</v>
      </c>
    </row>
    <row r="15" spans="1:16" x14ac:dyDescent="0.25">
      <c r="A15" s="4"/>
      <c r="B15" s="2" t="s">
        <v>29</v>
      </c>
      <c r="C15" t="s">
        <v>47</v>
      </c>
      <c r="D15" t="s">
        <v>10</v>
      </c>
      <c r="E15" t="s">
        <v>10</v>
      </c>
    </row>
    <row r="16" spans="1:16" x14ac:dyDescent="0.25">
      <c r="A16" s="4"/>
      <c r="B16" s="2" t="s">
        <v>30</v>
      </c>
      <c r="C16" t="s">
        <v>65</v>
      </c>
      <c r="D16" t="s">
        <v>66</v>
      </c>
      <c r="E16" t="s">
        <v>53</v>
      </c>
    </row>
    <row r="17" spans="1:13" x14ac:dyDescent="0.25">
      <c r="A17" s="4"/>
      <c r="B17" s="2" t="s">
        <v>31</v>
      </c>
      <c r="C17" t="s">
        <v>32</v>
      </c>
      <c r="D17" t="s">
        <v>57</v>
      </c>
      <c r="E17" t="s">
        <v>53</v>
      </c>
    </row>
    <row r="18" spans="1:13" x14ac:dyDescent="0.25">
      <c r="A18" s="4"/>
      <c r="B18" s="2" t="s">
        <v>5</v>
      </c>
      <c r="C18" t="s">
        <v>48</v>
      </c>
      <c r="D18" t="s">
        <v>56</v>
      </c>
      <c r="E18" t="s">
        <v>53</v>
      </c>
    </row>
    <row r="19" spans="1:13" x14ac:dyDescent="0.25">
      <c r="A19" s="4"/>
      <c r="B19" s="1">
        <v>0.91666666666666663</v>
      </c>
      <c r="C19" t="s">
        <v>9</v>
      </c>
      <c r="D19" t="s">
        <v>10</v>
      </c>
      <c r="E19" t="s">
        <v>11</v>
      </c>
      <c r="M19" s="5"/>
    </row>
    <row r="20" spans="1:13" x14ac:dyDescent="0.25">
      <c r="A20" s="4" t="s">
        <v>33</v>
      </c>
      <c r="B20" s="1">
        <v>0.3125</v>
      </c>
      <c r="C20" t="s">
        <v>13</v>
      </c>
      <c r="D20" t="s">
        <v>53</v>
      </c>
      <c r="E20" t="s">
        <v>61</v>
      </c>
      <c r="M20" s="5"/>
    </row>
    <row r="21" spans="1:13" x14ac:dyDescent="0.25">
      <c r="A21" s="4"/>
      <c r="B21" s="2" t="s">
        <v>14</v>
      </c>
      <c r="C21" t="s">
        <v>34</v>
      </c>
      <c r="D21" t="s">
        <v>16</v>
      </c>
      <c r="E21" t="s">
        <v>11</v>
      </c>
      <c r="M21" s="5"/>
    </row>
    <row r="22" spans="1:13" x14ac:dyDescent="0.25">
      <c r="A22" s="4"/>
      <c r="B22" s="2" t="s">
        <v>17</v>
      </c>
      <c r="C22" t="s">
        <v>18</v>
      </c>
      <c r="D22" t="s">
        <v>56</v>
      </c>
      <c r="E22" t="s">
        <v>11</v>
      </c>
      <c r="M22" s="5"/>
    </row>
    <row r="23" spans="1:13" x14ac:dyDescent="0.25">
      <c r="A23" s="4"/>
      <c r="B23" s="2" t="s">
        <v>35</v>
      </c>
      <c r="C23" t="s">
        <v>46</v>
      </c>
      <c r="D23" t="s">
        <v>54</v>
      </c>
      <c r="E23" t="s">
        <v>61</v>
      </c>
      <c r="M23" s="5"/>
    </row>
    <row r="24" spans="1:13" x14ac:dyDescent="0.25">
      <c r="A24" s="4"/>
      <c r="B24" s="1">
        <v>0.375</v>
      </c>
      <c r="C24" t="s">
        <v>45</v>
      </c>
      <c r="D24" t="s">
        <v>10</v>
      </c>
      <c r="E24" t="s">
        <v>60</v>
      </c>
      <c r="M24" s="5"/>
    </row>
    <row r="25" spans="1:13" x14ac:dyDescent="0.25">
      <c r="A25" s="4"/>
      <c r="B25" s="2" t="s">
        <v>36</v>
      </c>
      <c r="C25" t="s">
        <v>44</v>
      </c>
      <c r="D25" t="s">
        <v>58</v>
      </c>
      <c r="E25" t="s">
        <v>37</v>
      </c>
      <c r="M25" s="5"/>
    </row>
    <row r="26" spans="1:13" x14ac:dyDescent="0.25">
      <c r="A26" s="4"/>
      <c r="B26" s="2" t="s">
        <v>38</v>
      </c>
      <c r="C26" t="s">
        <v>59</v>
      </c>
      <c r="D26" t="s">
        <v>53</v>
      </c>
      <c r="E26" t="s">
        <v>62</v>
      </c>
      <c r="M26" s="5"/>
    </row>
    <row r="27" spans="1:13" x14ac:dyDescent="0.25">
      <c r="A27" s="4"/>
      <c r="B27" s="1">
        <v>0.44791666666666669</v>
      </c>
      <c r="C27" t="s">
        <v>39</v>
      </c>
      <c r="D27" t="s">
        <v>10</v>
      </c>
      <c r="E27" t="s">
        <v>10</v>
      </c>
      <c r="M27" s="5"/>
    </row>
    <row r="28" spans="1:13" x14ac:dyDescent="0.25">
      <c r="M28" s="5"/>
    </row>
    <row r="29" spans="1:13" x14ac:dyDescent="0.25">
      <c r="M29" s="6"/>
    </row>
    <row r="30" spans="1:13" x14ac:dyDescent="0.25">
      <c r="M30" s="6"/>
    </row>
  </sheetData>
  <mergeCells count="3">
    <mergeCell ref="A20:A27"/>
    <mergeCell ref="A2:A5"/>
    <mergeCell ref="A6:A19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B1D1A6-F98E-418E-A7AA-26B820D31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Preuss</dc:creator>
  <cp:lastModifiedBy>Igor Preuss</cp:lastModifiedBy>
  <dcterms:created xsi:type="dcterms:W3CDTF">2025-11-26T22:17:26Z</dcterms:created>
  <dcterms:modified xsi:type="dcterms:W3CDTF">2025-11-27T00:44:53Z</dcterms:modified>
</cp:coreProperties>
</file>